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tories" sheetId="1" state="visible" r:id="rId1"/>
    <sheet name="Summary" sheetId="2" state="visible" r:id="rId2"/>
    <sheet name="Field Guide" sheetId="3" state="visible" r:id="rId3"/>
  </sheets>
  <definedNames>
    <definedName name="_xlnm._FilterDatabase" localSheetId="0" hidden="1">'Master Stories'!$A$1:$K$43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8" customWidth="1" min="5" max="5"/>
    <col width="14" customWidth="1" min="6" max="6"/>
    <col width="16" customWidth="1" min="7" max="7"/>
    <col width="44" customWidth="1" min="8" max="8"/>
    <col width="70" customWidth="1" min="9" max="9"/>
    <col width="28" customWidth="1" min="10" max="10"/>
    <col width="34" customWidth="1" min="11" max="11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Priority</t>
        </is>
      </c>
      <c r="D1" s="1" t="inlineStr">
        <is>
          <t>Estimate</t>
        </is>
      </c>
      <c r="E1" s="1" t="inlineStr">
        <is>
          <t>Owner</t>
        </is>
      </c>
      <c r="F1" s="1" t="inlineStr">
        <is>
          <t>Sprint</t>
        </is>
      </c>
      <c r="G1" s="1" t="inlineStr">
        <is>
          <t>Status</t>
        </is>
      </c>
      <c r="H1" s="1" t="inlineStr">
        <is>
          <t>Story</t>
        </is>
      </c>
      <c r="I1" s="1" t="inlineStr">
        <is>
          <t>Acceptance Criteria</t>
        </is>
      </c>
      <c r="J1" s="1" t="inlineStr">
        <is>
          <t>Dependencies</t>
        </is>
      </c>
      <c r="K1" s="1" t="inlineStr">
        <is>
          <t>Notes</t>
        </is>
      </c>
    </row>
    <row r="2">
      <c r="A2" s="2" t="inlineStr">
        <is>
          <t>CFM-001</t>
        </is>
      </c>
      <c r="B2" s="2" t="inlineStr">
        <is>
          <t>Project Foundation</t>
        </is>
      </c>
      <c r="C2" s="2" t="inlineStr">
        <is>
          <t>P0</t>
        </is>
      </c>
      <c r="D2" s="3" t="n">
        <v>2</v>
      </c>
      <c r="E2" s="2" t="inlineStr"/>
      <c r="F2" s="2" t="inlineStr"/>
      <c r="G2" s="2" t="inlineStr">
        <is>
          <t>Backlog</t>
        </is>
      </c>
      <c r="H2" s="2" t="inlineStr">
        <is>
          <t>Scaffold standalone VS Code extension package under `codefresh-actions-migrator`.</t>
        </is>
      </c>
      <c r="I2" s="2" t="inlineStr">
        <is>
          <t>Package has compile/test scripts, TypeScript config, VS Code extension manifest, and local README.</t>
        </is>
      </c>
      <c r="J2" s="2" t="inlineStr"/>
      <c r="K2" s="2" t="inlineStr"/>
    </row>
    <row r="3">
      <c r="A3" s="2" t="inlineStr">
        <is>
          <t>CFM-002</t>
        </is>
      </c>
      <c r="B3" s="2" t="inlineStr">
        <is>
          <t>Project Foundation</t>
        </is>
      </c>
      <c r="C3" s="2" t="inlineStr">
        <is>
          <t>P0</t>
        </is>
      </c>
      <c r="D3" s="3" t="n">
        <v>2</v>
      </c>
      <c r="E3" s="2" t="inlineStr"/>
      <c r="F3" s="2" t="inlineStr"/>
      <c r="G3" s="2" t="inlineStr">
        <is>
          <t>Backlog</t>
        </is>
      </c>
      <c r="H3" s="2" t="inlineStr">
        <is>
          <t>Configure extension activation, commands, and contributed chat participant metadata.</t>
        </is>
      </c>
      <c r="I3" s="2" t="inlineStr">
        <is>
          <t>Extension activates on migration commands and `@cfmigrator`; command palette entries are visible.</t>
        </is>
      </c>
      <c r="J3" s="2" t="inlineStr">
        <is>
          <t>CFM-001</t>
        </is>
      </c>
      <c r="K3" s="2" t="inlineStr"/>
    </row>
    <row r="4">
      <c r="A4" s="2" t="inlineStr">
        <is>
          <t>CFM-003</t>
        </is>
      </c>
      <c r="B4" s="2" t="inlineStr">
        <is>
          <t>Project Foundation</t>
        </is>
      </c>
      <c r="C4" s="2" t="inlineStr">
        <is>
          <t>P1</t>
        </is>
      </c>
      <c r="D4" s="3" t="n">
        <v>3</v>
      </c>
      <c r="E4" s="2" t="inlineStr"/>
      <c r="F4" s="2" t="inlineStr"/>
      <c r="G4" s="2" t="inlineStr">
        <is>
          <t>Backlog</t>
        </is>
      </c>
      <c r="H4" s="2" t="inlineStr">
        <is>
          <t>Define public migration domain interfaces.</t>
        </is>
      </c>
      <c r="I4" s="2" t="inlineStr">
        <is>
          <t>`CodefreshPipeline`, `CodefreshStep`, `MigrationPlan`, `StepMapping`, and `KnowledgePattern` are exported and covered by compile-time checks.</t>
        </is>
      </c>
      <c r="J4" s="2" t="inlineStr">
        <is>
          <t>CFM-001</t>
        </is>
      </c>
      <c r="K4" s="2" t="inlineStr"/>
    </row>
    <row r="5">
      <c r="A5" s="2" t="inlineStr">
        <is>
          <t>CFM-004</t>
        </is>
      </c>
      <c r="B5" s="2" t="inlineStr">
        <is>
          <t>Project Foundation</t>
        </is>
      </c>
      <c r="C5" s="2" t="inlineStr">
        <is>
          <t>P1</t>
        </is>
      </c>
      <c r="D5" s="3" t="n">
        <v>3</v>
      </c>
      <c r="E5" s="2" t="inlineStr"/>
      <c r="F5" s="2" t="inlineStr"/>
      <c r="G5" s="2" t="inlineStr">
        <is>
          <t>Backlog</t>
        </is>
      </c>
      <c r="H5" s="2" t="inlineStr">
        <is>
          <t>Establish repository hygiene for generated artifacts.</t>
        </is>
      </c>
      <c r="I5" s="2" t="inlineStr">
        <is>
          <t>`node_modules`, `out`, `.vscode-test`, and packaged VSIX files are ignored.</t>
        </is>
      </c>
      <c r="J5" s="2" t="inlineStr">
        <is>
          <t>CFM-001</t>
        </is>
      </c>
      <c r="K5" s="2" t="inlineStr"/>
    </row>
    <row r="6">
      <c r="A6" s="2" t="inlineStr">
        <is>
          <t>CFM-005</t>
        </is>
      </c>
      <c r="B6" s="2" t="inlineStr">
        <is>
          <t>Project Foundation</t>
        </is>
      </c>
      <c r="C6" s="2" t="inlineStr">
        <is>
          <t>P2</t>
        </is>
      </c>
      <c r="D6" s="3" t="n">
        <v>3</v>
      </c>
      <c r="E6" s="2" t="inlineStr"/>
      <c r="F6" s="2" t="inlineStr"/>
      <c r="G6" s="2" t="inlineStr">
        <is>
          <t>Backlog</t>
        </is>
      </c>
      <c r="H6" s="2" t="inlineStr">
        <is>
          <t>Add contribution/development guide for local extension development.</t>
        </is>
      </c>
      <c r="I6" s="2" t="inlineStr">
        <is>
          <t>README explains install, compile, test, debug launch, and manual smoke-test workflow.</t>
        </is>
      </c>
      <c r="J6" s="2" t="inlineStr">
        <is>
          <t>CFM-001</t>
        </is>
      </c>
      <c r="K6" s="2" t="inlineStr"/>
    </row>
    <row r="7">
      <c r="A7" s="2" t="inlineStr">
        <is>
          <t>CFM-006</t>
        </is>
      </c>
      <c r="B7" s="2" t="inlineStr">
        <is>
          <t>Deterministic Converter Core</t>
        </is>
      </c>
      <c r="C7" s="2" t="inlineStr">
        <is>
          <t>P0</t>
        </is>
      </c>
      <c r="D7" s="3" t="n">
        <v>3</v>
      </c>
      <c r="E7" s="2" t="inlineStr"/>
      <c r="F7" s="2" t="inlineStr"/>
      <c r="G7" s="2" t="inlineStr">
        <is>
          <t>Backlog</t>
        </is>
      </c>
      <c r="H7" s="2" t="inlineStr">
        <is>
          <t>Scan workspaces for Codefresh pipeline files.</t>
        </is>
      </c>
      <c r="I7" s="2" t="inlineStr">
        <is>
          <t>Scanner finds `codefresh.yml`, `codefresh.yaml`, and `.codefresh/*.yml` while skipping noisy folders.</t>
        </is>
      </c>
      <c r="J7" s="2" t="inlineStr">
        <is>
          <t>CFM-003</t>
        </is>
      </c>
      <c r="K7" s="2" t="inlineStr"/>
    </row>
    <row r="8">
      <c r="A8" s="2" t="inlineStr">
        <is>
          <t>CFM-007</t>
        </is>
      </c>
      <c r="B8" s="2" t="inlineStr">
        <is>
          <t>Deterministic Converter Core</t>
        </is>
      </c>
      <c r="C8" s="2" t="inlineStr">
        <is>
          <t>P0</t>
        </is>
      </c>
      <c r="D8" s="3" t="n">
        <v>5</v>
      </c>
      <c r="E8" s="2" t="inlineStr"/>
      <c r="F8" s="2" t="inlineStr"/>
      <c r="G8" s="2" t="inlineStr">
        <is>
          <t>Backlog</t>
        </is>
      </c>
      <c r="H8" s="2" t="inlineStr">
        <is>
          <t>Parse Codefresh YAML into a normalized pipeline model.</t>
        </is>
      </c>
      <c r="I8" s="2" t="inlineStr">
        <is>
          <t>Parser validates YAML, extracts version, variables, and ordered steps, and reports parse errors clearly.</t>
        </is>
      </c>
      <c r="J8" s="2" t="inlineStr">
        <is>
          <t>CFM-003</t>
        </is>
      </c>
      <c r="K8" s="2" t="inlineStr"/>
    </row>
    <row r="9">
      <c r="A9" s="2" t="inlineStr">
        <is>
          <t>CFM-008</t>
        </is>
      </c>
      <c r="B9" s="2" t="inlineStr">
        <is>
          <t>Deterministic Converter Core</t>
        </is>
      </c>
      <c r="C9" s="2" t="inlineStr">
        <is>
          <t>P0</t>
        </is>
      </c>
      <c r="D9" s="3" t="n">
        <v>3</v>
      </c>
      <c r="E9" s="2" t="inlineStr"/>
      <c r="F9" s="2" t="inlineStr"/>
      <c r="G9" s="2" t="inlineStr">
        <is>
          <t>Backlog</t>
        </is>
      </c>
      <c r="H9" s="2" t="inlineStr">
        <is>
          <t>Normalize freestyle, build, push, composition, approval, deploy, and unknown steps.</t>
        </is>
      </c>
      <c r="I9" s="2" t="inlineStr">
        <is>
          <t>Analyzer consistently extracts type, title, image, commands, env, `when`, and raw fields.</t>
        </is>
      </c>
      <c r="J9" s="2" t="inlineStr">
        <is>
          <t>CFM-007</t>
        </is>
      </c>
      <c r="K9" s="2" t="inlineStr"/>
    </row>
    <row r="10">
      <c r="A10" s="2" t="inlineStr">
        <is>
          <t>CFM-009</t>
        </is>
      </c>
      <c r="B10" s="2" t="inlineStr">
        <is>
          <t>Deterministic Converter Core</t>
        </is>
      </c>
      <c r="C10" s="2" t="inlineStr">
        <is>
          <t>P0</t>
        </is>
      </c>
      <c r="D10" s="3" t="n">
        <v>5</v>
      </c>
      <c r="E10" s="2" t="inlineStr"/>
      <c r="F10" s="2" t="inlineStr"/>
      <c r="G10" s="2" t="inlineStr">
        <is>
          <t>Backlog</t>
        </is>
      </c>
      <c r="H10" s="2" t="inlineStr">
        <is>
          <t>Map Codefresh git clone and freestyle steps to GitHub Actions.</t>
        </is>
      </c>
      <c r="I10" s="2" t="inlineStr">
        <is>
          <t>Clone becomes `actions/checkout@v4`; freestyle becomes `run`; container/image behavior is warned or mapped.</t>
        </is>
      </c>
      <c r="J10" s="2" t="inlineStr">
        <is>
          <t>CFM-008</t>
        </is>
      </c>
      <c r="K10" s="2" t="inlineStr"/>
    </row>
    <row r="11">
      <c r="A11" s="2" t="inlineStr">
        <is>
          <t>CFM-010</t>
        </is>
      </c>
      <c r="B11" s="2" t="inlineStr">
        <is>
          <t>Deterministic Converter Core</t>
        </is>
      </c>
      <c r="C11" s="2" t="inlineStr">
        <is>
          <t>P1</t>
        </is>
      </c>
      <c r="D11" s="3" t="n">
        <v>5</v>
      </c>
      <c r="E11" s="2" t="inlineStr"/>
      <c r="F11" s="2" t="inlineStr"/>
      <c r="G11" s="2" t="inlineStr">
        <is>
          <t>Backlog</t>
        </is>
      </c>
      <c r="H11" s="2" t="inlineStr">
        <is>
          <t>Map Docker build and push patterns.</t>
        </is>
      </c>
      <c r="I11" s="2" t="inlineStr">
        <is>
          <t>Build uses Buildx/build-push-action; push includes registry login, required secrets, and verification warnings.</t>
        </is>
      </c>
      <c r="J11" s="2" t="inlineStr">
        <is>
          <t>CFM-008</t>
        </is>
      </c>
      <c r="K11" s="2" t="inlineStr"/>
    </row>
    <row r="12">
      <c r="A12" s="2" t="inlineStr">
        <is>
          <t>CFM-011</t>
        </is>
      </c>
      <c r="B12" s="2" t="inlineStr">
        <is>
          <t>Deterministic Converter Core</t>
        </is>
      </c>
      <c r="C12" s="2" t="inlineStr">
        <is>
          <t>P1</t>
        </is>
      </c>
      <c r="D12" s="3" t="n">
        <v>5</v>
      </c>
      <c r="E12" s="2" t="inlineStr"/>
      <c r="F12" s="2" t="inlineStr"/>
      <c r="G12" s="2" t="inlineStr">
        <is>
          <t>Backlog</t>
        </is>
      </c>
      <c r="H12" s="2" t="inlineStr">
        <is>
          <t>Map composition and service patterns.</t>
        </is>
      </c>
      <c r="I12" s="2" t="inlineStr">
        <is>
          <t>Representable services become job services; unsupported compose behavior becomes a guarded `docker compose` step with warnings.</t>
        </is>
      </c>
      <c r="J12" s="2" t="inlineStr">
        <is>
          <t>CFM-008</t>
        </is>
      </c>
      <c r="K12" s="2" t="inlineStr"/>
    </row>
    <row r="13">
      <c r="A13" s="2" t="inlineStr">
        <is>
          <t>CFM-012</t>
        </is>
      </c>
      <c r="B13" s="2" t="inlineStr">
        <is>
          <t>Deterministic Converter Core</t>
        </is>
      </c>
      <c r="C13" s="2" t="inlineStr">
        <is>
          <t>P1</t>
        </is>
      </c>
      <c r="D13" s="3" t="n">
        <v>5</v>
      </c>
      <c r="E13" s="2" t="inlineStr"/>
      <c r="F13" s="2" t="inlineStr"/>
      <c r="G13" s="2" t="inlineStr">
        <is>
          <t>Backlog</t>
        </is>
      </c>
      <c r="H13" s="2" t="inlineStr">
        <is>
          <t>Map approval and deploy patterns safely.</t>
        </is>
      </c>
      <c r="I13" s="2" t="inlineStr">
        <is>
          <t>Approval maps to GitHub environment with reviewer warning; deploy commands are preserved or flagged for manual migration.</t>
        </is>
      </c>
      <c r="J13" s="2" t="inlineStr">
        <is>
          <t>CFM-008</t>
        </is>
      </c>
      <c r="K13" s="2" t="inlineStr"/>
    </row>
    <row r="14">
      <c r="A14" s="2" t="inlineStr">
        <is>
          <t>CFM-013</t>
        </is>
      </c>
      <c r="B14" s="2" t="inlineStr">
        <is>
          <t>Deterministic Converter Core</t>
        </is>
      </c>
      <c r="C14" s="2" t="inlineStr">
        <is>
          <t>P1</t>
        </is>
      </c>
      <c r="D14" s="3" t="n">
        <v>4</v>
      </c>
      <c r="E14" s="2" t="inlineStr"/>
      <c r="F14" s="2" t="inlineStr"/>
      <c r="G14" s="2" t="inlineStr">
        <is>
          <t>Backlog</t>
        </is>
      </c>
      <c r="H14" s="2" t="inlineStr">
        <is>
          <t>Handle unknown/custom steps without hallucinated production workflow code.</t>
        </is>
      </c>
      <c r="I14" s="2" t="inlineStr">
        <is>
          <t>Unknown steps become explicit manual-review placeholders and low-confidence mappings.</t>
        </is>
      </c>
      <c r="J14" s="2" t="inlineStr">
        <is>
          <t>CFM-008</t>
        </is>
      </c>
      <c r="K14" s="2" t="inlineStr"/>
    </row>
    <row r="15">
      <c r="A15" s="2" t="inlineStr">
        <is>
          <t>CFM-014</t>
        </is>
      </c>
      <c r="B15" s="2" t="inlineStr">
        <is>
          <t>GitHub Actions Generation</t>
        </is>
      </c>
      <c r="C15" s="2" t="inlineStr">
        <is>
          <t>P0</t>
        </is>
      </c>
      <c r="D15" s="3" t="n">
        <v>5</v>
      </c>
      <c r="E15" s="2" t="inlineStr"/>
      <c r="F15" s="2" t="inlineStr"/>
      <c r="G15" s="2" t="inlineStr">
        <is>
          <t>Backlog</t>
        </is>
      </c>
      <c r="H15" s="2" t="inlineStr">
        <is>
          <t>Build migration planner that aggregates mappings, warnings, secrets, and confidence.</t>
        </is>
      </c>
      <c r="I15" s="2" t="inlineStr">
        <is>
          <t>Planner emits one deterministic `MigrationPlan` with target workflow path and job plan.</t>
        </is>
      </c>
      <c r="J15" s="2" t="inlineStr">
        <is>
          <t>CFM-009, CFM-010, CFM-011, CFM-012, CFM-013</t>
        </is>
      </c>
      <c r="K15" s="2" t="inlineStr"/>
    </row>
    <row r="16">
      <c r="A16" s="2" t="inlineStr">
        <is>
          <t>CFM-015</t>
        </is>
      </c>
      <c r="B16" s="2" t="inlineStr">
        <is>
          <t>GitHub Actions Generation</t>
        </is>
      </c>
      <c r="C16" s="2" t="inlineStr">
        <is>
          <t>P0</t>
        </is>
      </c>
      <c r="D16" s="3" t="n">
        <v>5</v>
      </c>
      <c r="E16" s="2" t="inlineStr"/>
      <c r="F16" s="2" t="inlineStr"/>
      <c r="G16" s="2" t="inlineStr">
        <is>
          <t>Backlog</t>
        </is>
      </c>
      <c r="H16" s="2" t="inlineStr">
        <is>
          <t>Generate GitHub Actions workflow YAML.</t>
        </is>
      </c>
      <c r="I16" s="2" t="inlineStr">
        <is>
          <t>Generator emits `name`, `on`, `jobs`, `runs-on`, steps, container, services, and environment as valid YAML.</t>
        </is>
      </c>
      <c r="J16" s="2" t="inlineStr">
        <is>
          <t>CFM-014</t>
        </is>
      </c>
      <c r="K16" s="2" t="inlineStr"/>
    </row>
    <row r="17">
      <c r="A17" s="2" t="inlineStr">
        <is>
          <t>CFM-016</t>
        </is>
      </c>
      <c r="B17" s="2" t="inlineStr">
        <is>
          <t>GitHub Actions Generation</t>
        </is>
      </c>
      <c r="C17" s="2" t="inlineStr">
        <is>
          <t>P0</t>
        </is>
      </c>
      <c r="D17" s="3" t="n">
        <v>3</v>
      </c>
      <c r="E17" s="2" t="inlineStr"/>
      <c r="F17" s="2" t="inlineStr"/>
      <c r="G17" s="2" t="inlineStr">
        <is>
          <t>Backlog</t>
        </is>
      </c>
      <c r="H17" s="2" t="inlineStr">
        <is>
          <t>Validate generated workflow shape before writing.</t>
        </is>
      </c>
      <c r="I17" s="2" t="inlineStr">
        <is>
          <t>Validator rejects malformed YAML and missing `name`, `on`, or `jobs`.</t>
        </is>
      </c>
      <c r="J17" s="2" t="inlineStr">
        <is>
          <t>CFM-015</t>
        </is>
      </c>
      <c r="K17" s="2" t="inlineStr"/>
    </row>
    <row r="18">
      <c r="A18" s="2" t="inlineStr">
        <is>
          <t>CFM-017</t>
        </is>
      </c>
      <c r="B18" s="2" t="inlineStr">
        <is>
          <t>GitHub Actions Generation</t>
        </is>
      </c>
      <c r="C18" s="2" t="inlineStr">
        <is>
          <t>P1</t>
        </is>
      </c>
      <c r="D18" s="3" t="n">
        <v>5</v>
      </c>
      <c r="E18" s="2" t="inlineStr"/>
      <c r="F18" s="2" t="inlineStr"/>
      <c r="G18" s="2" t="inlineStr">
        <is>
          <t>Backlog</t>
        </is>
      </c>
      <c r="H18" s="2" t="inlineStr">
        <is>
          <t>Add branch/trigger strategy configuration.</t>
        </is>
      </c>
      <c r="I18" s="2" t="inlineStr">
        <is>
          <t>User can choose default triggers or supply workspace setting defaults without code changes.</t>
        </is>
      </c>
      <c r="J18" s="2" t="inlineStr">
        <is>
          <t>CFM-015</t>
        </is>
      </c>
      <c r="K18" s="2" t="inlineStr"/>
    </row>
    <row r="19">
      <c r="A19" s="2" t="inlineStr">
        <is>
          <t>CFM-018</t>
        </is>
      </c>
      <c r="B19" s="2" t="inlineStr">
        <is>
          <t>GitHub Actions Generation</t>
        </is>
      </c>
      <c r="C19" s="2" t="inlineStr">
        <is>
          <t>P2</t>
        </is>
      </c>
      <c r="D19" s="3" t="n">
        <v>5</v>
      </c>
      <c r="E19" s="2" t="inlineStr"/>
      <c r="F19" s="2" t="inlineStr"/>
      <c r="G19" s="2" t="inlineStr">
        <is>
          <t>Backlog</t>
        </is>
      </c>
      <c r="H19" s="2" t="inlineStr">
        <is>
          <t>Improve GitHub Actions fidelity for Codefresh `when` conditions and parallel execution.</t>
        </is>
      </c>
      <c r="I19" s="2" t="inlineStr">
        <is>
          <t>Common conditions and parallel step groups map to equivalent Actions expressions/jobs or produce clear warnings.</t>
        </is>
      </c>
      <c r="J19" s="2" t="inlineStr">
        <is>
          <t>CFM-014</t>
        </is>
      </c>
      <c r="K19" s="2" t="inlineStr"/>
    </row>
    <row r="20">
      <c r="A20" s="2" t="inlineStr">
        <is>
          <t>CFM-019</t>
        </is>
      </c>
      <c r="B20" s="2" t="inlineStr">
        <is>
          <t>VS Code Extension UX</t>
        </is>
      </c>
      <c r="C20" s="2" t="inlineStr">
        <is>
          <t>P0</t>
        </is>
      </c>
      <c r="D20" s="3" t="n">
        <v>3</v>
      </c>
      <c r="E20" s="2" t="inlineStr"/>
      <c r="F20" s="2" t="inlineStr"/>
      <c r="G20" s="2" t="inlineStr">
        <is>
          <t>Backlog</t>
        </is>
      </c>
      <c r="H20" s="2" t="inlineStr">
        <is>
          <t>Implement `scanWorkspace` command.</t>
        </is>
      </c>
      <c r="I20" s="2" t="inlineStr">
        <is>
          <t>Command scans open workspace, shows result count, and logs files to output channel.</t>
        </is>
      </c>
      <c r="J20" s="2" t="inlineStr">
        <is>
          <t>CFM-006</t>
        </is>
      </c>
      <c r="K20" s="2" t="inlineStr"/>
    </row>
    <row r="21">
      <c r="A21" s="2" t="inlineStr">
        <is>
          <t>CFM-020</t>
        </is>
      </c>
      <c r="B21" s="2" t="inlineStr">
        <is>
          <t>VS Code Extension UX</t>
        </is>
      </c>
      <c r="C21" s="2" t="inlineStr">
        <is>
          <t>P0</t>
        </is>
      </c>
      <c r="D21" s="3" t="n">
        <v>5</v>
      </c>
      <c r="E21" s="2" t="inlineStr"/>
      <c r="F21" s="2" t="inlineStr"/>
      <c r="G21" s="2" t="inlineStr">
        <is>
          <t>Backlog</t>
        </is>
      </c>
      <c r="H21" s="2" t="inlineStr">
        <is>
          <t>Implement `planMigration` command.</t>
        </is>
      </c>
      <c r="I21" s="2" t="inlineStr">
        <is>
          <t>User can pick a pipeline and view a Markdown migration plan preview.</t>
        </is>
      </c>
      <c r="J21" s="2" t="inlineStr">
        <is>
          <t>CFM-014, CFM-019</t>
        </is>
      </c>
      <c r="K21" s="2" t="inlineStr"/>
    </row>
    <row r="22">
      <c r="A22" s="2" t="inlineStr">
        <is>
          <t>CFM-021</t>
        </is>
      </c>
      <c r="B22" s="2" t="inlineStr">
        <is>
          <t>VS Code Extension UX</t>
        </is>
      </c>
      <c r="C22" s="2" t="inlineStr">
        <is>
          <t>P0</t>
        </is>
      </c>
      <c r="D22" s="3" t="n">
        <v>5</v>
      </c>
      <c r="E22" s="2" t="inlineStr"/>
      <c r="F22" s="2" t="inlineStr"/>
      <c r="G22" s="2" t="inlineStr">
        <is>
          <t>Backlog</t>
        </is>
      </c>
      <c r="H22" s="2" t="inlineStr">
        <is>
          <t>Implement `generateWorkflow` command with preview and confirmation.</t>
        </is>
      </c>
      <c r="I22" s="2" t="inlineStr">
        <is>
          <t>Extension previews YAML, validates it, writes only after confirmation, and asks before overwrite.</t>
        </is>
      </c>
      <c r="J22" s="2" t="inlineStr">
        <is>
          <t>CFM-015, CFM-016, CFM-020</t>
        </is>
      </c>
      <c r="K22" s="2" t="inlineStr"/>
    </row>
    <row r="23">
      <c r="A23" s="2" t="inlineStr">
        <is>
          <t>CFM-022</t>
        </is>
      </c>
      <c r="B23" s="2" t="inlineStr">
        <is>
          <t>VS Code Extension UX</t>
        </is>
      </c>
      <c r="C23" s="2" t="inlineStr">
        <is>
          <t>P1</t>
        </is>
      </c>
      <c r="D23" s="3" t="n">
        <v>5</v>
      </c>
      <c r="E23" s="2" t="inlineStr"/>
      <c r="F23" s="2" t="inlineStr"/>
      <c r="G23" s="2" t="inlineStr">
        <is>
          <t>Backlog</t>
        </is>
      </c>
      <c r="H23" s="2" t="inlineStr">
        <is>
          <t>Implement `explainMigration` command.</t>
        </is>
      </c>
      <c r="I23" s="2" t="inlineStr">
        <is>
          <t>Command opens a concise migration explanation using Copilot when available and deterministic fallback otherwise.</t>
        </is>
      </c>
      <c r="J23" s="2" t="inlineStr">
        <is>
          <t>CFM-020, CFM-027</t>
        </is>
      </c>
      <c r="K23" s="2" t="inlineStr"/>
    </row>
    <row r="24">
      <c r="A24" s="2" t="inlineStr">
        <is>
          <t>CFM-023</t>
        </is>
      </c>
      <c r="B24" s="2" t="inlineStr">
        <is>
          <t>VS Code Extension UX</t>
        </is>
      </c>
      <c r="C24" s="2" t="inlineStr">
        <is>
          <t>P1</t>
        </is>
      </c>
      <c r="D24" s="3" t="n">
        <v>5</v>
      </c>
      <c r="E24" s="2" t="inlineStr"/>
      <c r="F24" s="2" t="inlineStr"/>
      <c r="G24" s="2" t="inlineStr">
        <is>
          <t>Backlog</t>
        </is>
      </c>
      <c r="H24" s="2" t="inlineStr">
        <is>
          <t>Improve migration plan preview UX.</t>
        </is>
      </c>
      <c r="I24" s="2" t="inlineStr">
        <is>
          <t>Preview includes grouped warnings, required secrets, confidence, and step mapping table.</t>
        </is>
      </c>
      <c r="J24" s="2" t="inlineStr">
        <is>
          <t>CFM-020</t>
        </is>
      </c>
      <c r="K24" s="2" t="inlineStr"/>
    </row>
    <row r="25">
      <c r="A25" s="2" t="inlineStr">
        <is>
          <t>CFM-024</t>
        </is>
      </c>
      <c r="B25" s="2" t="inlineStr">
        <is>
          <t>VS Code Extension UX</t>
        </is>
      </c>
      <c r="C25" s="2" t="inlineStr">
        <is>
          <t>P2</t>
        </is>
      </c>
      <c r="D25" s="3" t="n">
        <v>6</v>
      </c>
      <c r="E25" s="2" t="inlineStr"/>
      <c r="F25" s="2" t="inlineStr"/>
      <c r="G25" s="2" t="inlineStr">
        <is>
          <t>Backlog</t>
        </is>
      </c>
      <c r="H25" s="2" t="inlineStr">
        <is>
          <t>Add tree view for pipeline inventory and migration status.</t>
        </is>
      </c>
      <c r="I25" s="2" t="inlineStr">
        <is>
          <t>Activity view lists discovered pipelines, planned/generated state, warnings, and target workflow path.</t>
        </is>
      </c>
      <c r="J25" s="2" t="inlineStr">
        <is>
          <t>CFM-019, CFM-020, CFM-021</t>
        </is>
      </c>
      <c r="K25" s="2" t="inlineStr"/>
    </row>
    <row r="26">
      <c r="A26" s="2" t="inlineStr">
        <is>
          <t>CFM-025</t>
        </is>
      </c>
      <c r="B26" s="2" t="inlineStr">
        <is>
          <t>Copilot and AI Tooling</t>
        </is>
      </c>
      <c r="C26" s="2" t="inlineStr">
        <is>
          <t>P0</t>
        </is>
      </c>
      <c r="D26" s="3" t="n">
        <v>5</v>
      </c>
      <c r="E26" s="2" t="inlineStr"/>
      <c r="F26" s="2" t="inlineStr"/>
      <c r="G26" s="2" t="inlineStr">
        <is>
          <t>Backlog</t>
        </is>
      </c>
      <c r="H26" s="2" t="inlineStr">
        <is>
          <t>Register `@cfmigrator` chat participant with slash commands.</t>
        </is>
      </c>
      <c r="I26" s="2" t="inlineStr">
        <is>
          <t>`/scan`, `/plan`, `/generate`, and `/explain` return useful results in VS Code Chat.</t>
        </is>
      </c>
      <c r="J26" s="2" t="inlineStr">
        <is>
          <t>CFM-019, CFM-020, CFM-021</t>
        </is>
      </c>
      <c r="K26" s="2" t="inlineStr"/>
    </row>
    <row r="27">
      <c r="A27" s="2" t="inlineStr">
        <is>
          <t>CFM-026</t>
        </is>
      </c>
      <c r="B27" s="2" t="inlineStr">
        <is>
          <t>Copilot and AI Tooling</t>
        </is>
      </c>
      <c r="C27" s="2" t="inlineStr">
        <is>
          <t>P0</t>
        </is>
      </c>
      <c r="D27" s="3" t="n">
        <v>5</v>
      </c>
      <c r="E27" s="2" t="inlineStr"/>
      <c r="F27" s="2" t="inlineStr"/>
      <c r="G27" s="2" t="inlineStr">
        <is>
          <t>Backlog</t>
        </is>
      </c>
      <c r="H27" s="2" t="inlineStr">
        <is>
          <t>Register language model tools for scan, plan, and validate.</t>
        </is>
      </c>
      <c r="I27" s="2" t="inlineStr">
        <is>
          <t>Copilot agent mode can invoke `scan_codefresh_pipelines`, `plan_codefresh_migration`, and `validate_github_workflow`.</t>
        </is>
      </c>
      <c r="J27" s="2" t="inlineStr">
        <is>
          <t>CFM-006, CFM-014, CFM-016</t>
        </is>
      </c>
      <c r="K27" s="2" t="inlineStr"/>
    </row>
    <row r="28">
      <c r="A28" s="2" t="inlineStr">
        <is>
          <t>CFM-027</t>
        </is>
      </c>
      <c r="B28" s="2" t="inlineStr">
        <is>
          <t>Copilot and AI Tooling</t>
        </is>
      </c>
      <c r="C28" s="2" t="inlineStr">
        <is>
          <t>P1</t>
        </is>
      </c>
      <c r="D28" s="3" t="n">
        <v>5</v>
      </c>
      <c r="E28" s="2" t="inlineStr"/>
      <c r="F28" s="2" t="inlineStr"/>
      <c r="G28" s="2" t="inlineStr">
        <is>
          <t>Backlog</t>
        </is>
      </c>
      <c r="H28" s="2" t="inlineStr">
        <is>
          <t>Add Copilot-backed explanation flow with graceful fallback.</t>
        </is>
      </c>
      <c r="I28" s="2" t="inlineStr">
        <is>
          <t>Uses Copilot model when available; handles missing model, consent denial, quota, and empty responses.</t>
        </is>
      </c>
      <c r="J28" s="2" t="inlineStr">
        <is>
          <t>CFM-014</t>
        </is>
      </c>
      <c r="K28" s="2" t="inlineStr"/>
    </row>
    <row r="29">
      <c r="A29" s="2" t="inlineStr">
        <is>
          <t>CFM-028</t>
        </is>
      </c>
      <c r="B29" s="2" t="inlineStr">
        <is>
          <t>Copilot and AI Tooling</t>
        </is>
      </c>
      <c r="C29" s="2" t="inlineStr">
        <is>
          <t>P1</t>
        </is>
      </c>
      <c r="D29" s="3" t="n">
        <v>5</v>
      </c>
      <c r="E29" s="2" t="inlineStr"/>
      <c r="F29" s="2" t="inlineStr"/>
      <c r="G29" s="2" t="inlineStr">
        <is>
          <t>Backlog</t>
        </is>
      </c>
      <c r="H29" s="2" t="inlineStr">
        <is>
          <t>Add strict JSON AI review contract for unknown-step suggestions.</t>
        </is>
      </c>
      <c r="I29" s="2" t="inlineStr">
        <is>
          <t>AI suggestions validate against schema and are discarded if malformed or unsafe.</t>
        </is>
      </c>
      <c r="J29" s="2" t="inlineStr">
        <is>
          <t>CFM-013, CFM-027</t>
        </is>
      </c>
      <c r="K29" s="2" t="inlineStr"/>
    </row>
    <row r="30">
      <c r="A30" s="2" t="inlineStr">
        <is>
          <t>CFM-029</t>
        </is>
      </c>
      <c r="B30" s="2" t="inlineStr">
        <is>
          <t>Copilot and AI Tooling</t>
        </is>
      </c>
      <c r="C30" s="2" t="inlineStr">
        <is>
          <t>P2</t>
        </is>
      </c>
      <c r="D30" s="3" t="n">
        <v>4</v>
      </c>
      <c r="E30" s="2" t="inlineStr"/>
      <c r="F30" s="2" t="inlineStr"/>
      <c r="G30" s="2" t="inlineStr">
        <is>
          <t>Backlog</t>
        </is>
      </c>
      <c r="H30" s="2" t="inlineStr">
        <is>
          <t>Add prompt templates for ambiguity resolution.</t>
        </is>
      </c>
      <c r="I30" s="2" t="inlineStr">
        <is>
          <t>Chat participant can ask focused follow-up questions for unsupported deploy/composition/custom patterns.</t>
        </is>
      </c>
      <c r="J30" s="2" t="inlineStr">
        <is>
          <t>CFM-025, CFM-028</t>
        </is>
      </c>
      <c r="K30" s="2" t="inlineStr"/>
    </row>
    <row r="31">
      <c r="A31" s="2" t="inlineStr">
        <is>
          <t>CFM-030</t>
        </is>
      </c>
      <c r="B31" s="2" t="inlineStr">
        <is>
          <t>Knowledge and Learning</t>
        </is>
      </c>
      <c r="C31" s="2" t="inlineStr">
        <is>
          <t>P1</t>
        </is>
      </c>
      <c r="D31" s="3" t="n">
        <v>3</v>
      </c>
      <c r="E31" s="2" t="inlineStr"/>
      <c r="F31" s="2" t="inlineStr"/>
      <c r="G31" s="2" t="inlineStr">
        <is>
          <t>Backlog</t>
        </is>
      </c>
      <c r="H31" s="2" t="inlineStr">
        <is>
          <t>Ship default mapping pattern library.</t>
        </is>
      </c>
      <c r="I31" s="2" t="inlineStr">
        <is>
          <t>Repo includes `default-patterns.json` with clone, Docker, and approval patterns.</t>
        </is>
      </c>
      <c r="J31" s="2" t="inlineStr">
        <is>
          <t>CFM-003</t>
        </is>
      </c>
      <c r="K31" s="2" t="inlineStr"/>
    </row>
    <row r="32">
      <c r="A32" s="2" t="inlineStr">
        <is>
          <t>CFM-031</t>
        </is>
      </c>
      <c r="B32" s="2" t="inlineStr">
        <is>
          <t>Knowledge and Learning</t>
        </is>
      </c>
      <c r="C32" s="2" t="inlineStr">
        <is>
          <t>P1</t>
        </is>
      </c>
      <c r="D32" s="3" t="n">
        <v>5</v>
      </c>
      <c r="E32" s="2" t="inlineStr"/>
      <c r="F32" s="2" t="inlineStr"/>
      <c r="G32" s="2" t="inlineStr">
        <is>
          <t>Backlog</t>
        </is>
      </c>
      <c r="H32" s="2" t="inlineStr">
        <is>
          <t>Initialize user override storage in VS Code global storage.</t>
        </is>
      </c>
      <c r="I32" s="2" t="inlineStr">
        <is>
          <t>Extension creates a user pattern file if absent and never overwrites existing user patterns.</t>
        </is>
      </c>
      <c r="J32" s="2" t="inlineStr">
        <is>
          <t>CFM-030</t>
        </is>
      </c>
      <c r="K32" s="2" t="inlineStr"/>
    </row>
    <row r="33">
      <c r="A33" s="2" t="inlineStr">
        <is>
          <t>CFM-032</t>
        </is>
      </c>
      <c r="B33" s="2" t="inlineStr">
        <is>
          <t>Knowledge and Learning</t>
        </is>
      </c>
      <c r="C33" s="2" t="inlineStr">
        <is>
          <t>P2</t>
        </is>
      </c>
      <c r="D33" s="3" t="n">
        <v>5</v>
      </c>
      <c r="E33" s="2" t="inlineStr"/>
      <c r="F33" s="2" t="inlineStr"/>
      <c r="G33" s="2" t="inlineStr">
        <is>
          <t>Backlog</t>
        </is>
      </c>
      <c r="H33" s="2" t="inlineStr">
        <is>
          <t>Add "learn this mapping" workflow.</t>
        </is>
      </c>
      <c r="I33" s="2" t="inlineStr">
        <is>
          <t>User can save reviewed manual mappings into global storage and future plans consult those patterns.</t>
        </is>
      </c>
      <c r="J33" s="2" t="inlineStr">
        <is>
          <t>CFM-028, CFM-031</t>
        </is>
      </c>
      <c r="K33" s="2" t="inlineStr"/>
    </row>
    <row r="34">
      <c r="A34" s="2" t="inlineStr">
        <is>
          <t>CFM-033</t>
        </is>
      </c>
      <c r="B34" s="2" t="inlineStr">
        <is>
          <t>Testing and Quality</t>
        </is>
      </c>
      <c r="C34" s="2" t="inlineStr">
        <is>
          <t>P0</t>
        </is>
      </c>
      <c r="D34" s="3" t="n">
        <v>5</v>
      </c>
      <c r="E34" s="2" t="inlineStr"/>
      <c r="F34" s="2" t="inlineStr"/>
      <c r="G34" s="2" t="inlineStr">
        <is>
          <t>Backlog</t>
        </is>
      </c>
      <c r="H34" s="2" t="inlineStr">
        <is>
          <t>Add unit fixtures for required Codefresh scenarios.</t>
        </is>
      </c>
      <c r="I34" s="2" t="inlineStr">
        <is>
          <t>Fixtures cover freestyle Node, Docker build/push, composition, approval, deploy, and unknown/custom steps.</t>
        </is>
      </c>
      <c r="J34" s="2" t="inlineStr">
        <is>
          <t>CFM-007</t>
        </is>
      </c>
      <c r="K34" s="2" t="inlineStr"/>
    </row>
    <row r="35">
      <c r="A35" s="2" t="inlineStr">
        <is>
          <t>CFM-034</t>
        </is>
      </c>
      <c r="B35" s="2" t="inlineStr">
        <is>
          <t>Testing and Quality</t>
        </is>
      </c>
      <c r="C35" s="2" t="inlineStr">
        <is>
          <t>P0</t>
        </is>
      </c>
      <c r="D35" s="3" t="n">
        <v>5</v>
      </c>
      <c r="E35" s="2" t="inlineStr"/>
      <c r="F35" s="2" t="inlineStr"/>
      <c r="G35" s="2" t="inlineStr">
        <is>
          <t>Backlog</t>
        </is>
      </c>
      <c r="H35" s="2" t="inlineStr">
        <is>
          <t>Add mapper/generator unit tests.</t>
        </is>
      </c>
      <c r="I35" s="2" t="inlineStr">
        <is>
          <t>Tests verify generated YAML and warnings for all required fixtures.</t>
        </is>
      </c>
      <c r="J35" s="2" t="inlineStr">
        <is>
          <t>CFM-009, CFM-010, CFM-011, CFM-012, CFM-013, CFM-015</t>
        </is>
      </c>
      <c r="K35" s="2" t="inlineStr"/>
    </row>
    <row r="36">
      <c r="A36" s="2" t="inlineStr">
        <is>
          <t>CFM-035</t>
        </is>
      </c>
      <c r="B36" s="2" t="inlineStr">
        <is>
          <t>Testing and Quality</t>
        </is>
      </c>
      <c r="C36" s="2" t="inlineStr">
        <is>
          <t>P0</t>
        </is>
      </c>
      <c r="D36" s="3" t="n">
        <v>3</v>
      </c>
      <c r="E36" s="2" t="inlineStr"/>
      <c r="F36" s="2" t="inlineStr"/>
      <c r="G36" s="2" t="inlineStr">
        <is>
          <t>Backlog</t>
        </is>
      </c>
      <c r="H36" s="2" t="inlineStr">
        <is>
          <t>Add validator tests.</t>
        </is>
      </c>
      <c r="I36" s="2" t="inlineStr">
        <is>
          <t>Tests prove valid workflows pass and missing required top-level fields fail.</t>
        </is>
      </c>
      <c r="J36" s="2" t="inlineStr">
        <is>
          <t>CFM-016</t>
        </is>
      </c>
      <c r="K36" s="2" t="inlineStr"/>
    </row>
    <row r="37">
      <c r="A37" s="2" t="inlineStr">
        <is>
          <t>CFM-036</t>
        </is>
      </c>
      <c r="B37" s="2" t="inlineStr">
        <is>
          <t>Testing and Quality</t>
        </is>
      </c>
      <c r="C37" s="2" t="inlineStr">
        <is>
          <t>P1</t>
        </is>
      </c>
      <c r="D37" s="3" t="n">
        <v>3</v>
      </c>
      <c r="E37" s="2" t="inlineStr"/>
      <c r="F37" s="2" t="inlineStr"/>
      <c r="G37" s="2" t="inlineStr">
        <is>
          <t>Backlog</t>
        </is>
      </c>
      <c r="H37" s="2" t="inlineStr">
        <is>
          <t>Add mocked Copilot tests.</t>
        </is>
      </c>
      <c r="I37" s="2" t="inlineStr">
        <is>
          <t>AI flows are tested with mocked model responses and no real Copilot calls.</t>
        </is>
      </c>
      <c r="J37" s="2" t="inlineStr">
        <is>
          <t>CFM-027, CFM-028</t>
        </is>
      </c>
      <c r="K37" s="2" t="inlineStr"/>
    </row>
    <row r="38">
      <c r="A38" s="2" t="inlineStr">
        <is>
          <t>CFM-037</t>
        </is>
      </c>
      <c r="B38" s="2" t="inlineStr">
        <is>
          <t>Testing and Quality</t>
        </is>
      </c>
      <c r="C38" s="2" t="inlineStr">
        <is>
          <t>P1</t>
        </is>
      </c>
      <c r="D38" s="3" t="n">
        <v>4</v>
      </c>
      <c r="E38" s="2" t="inlineStr"/>
      <c r="F38" s="2" t="inlineStr"/>
      <c r="G38" s="2" t="inlineStr">
        <is>
          <t>Backlog</t>
        </is>
      </c>
      <c r="H38" s="2" t="inlineStr">
        <is>
          <t>Add VS Code extension-host integration smoke test.</t>
        </is>
      </c>
      <c r="I38" s="2" t="inlineStr">
        <is>
          <t>Extension activates and registers expected commands in `@vscode/test-electron`.</t>
        </is>
      </c>
      <c r="J38" s="2" t="inlineStr">
        <is>
          <t>CFM-002, CFM-019</t>
        </is>
      </c>
      <c r="K38" s="2" t="inlineStr"/>
    </row>
    <row r="39">
      <c r="A39" s="2" t="inlineStr">
        <is>
          <t>CFM-038</t>
        </is>
      </c>
      <c r="B39" s="2" t="inlineStr">
        <is>
          <t>Testing and Quality</t>
        </is>
      </c>
      <c r="C39" s="2" t="inlineStr">
        <is>
          <t>P2</t>
        </is>
      </c>
      <c r="D39" s="3" t="n">
        <v>3</v>
      </c>
      <c r="E39" s="2" t="inlineStr"/>
      <c r="F39" s="2" t="inlineStr"/>
      <c r="G39" s="2" t="inlineStr">
        <is>
          <t>Backlog</t>
        </is>
      </c>
      <c r="H39" s="2" t="inlineStr">
        <is>
          <t>Add CI workflow for compile and tests.</t>
        </is>
      </c>
      <c r="I39" s="2" t="inlineStr">
        <is>
          <t>Pull requests run install, compile, unit tests, and optional integration smoke test.</t>
        </is>
      </c>
      <c r="J39" s="2" t="inlineStr">
        <is>
          <t>CFM-034, CFM-037</t>
        </is>
      </c>
      <c r="K39" s="2" t="inlineStr"/>
    </row>
    <row r="40">
      <c r="A40" s="2" t="inlineStr">
        <is>
          <t>CFM-039</t>
        </is>
      </c>
      <c r="B40" s="2" t="inlineStr">
        <is>
          <t>Packaging and Documentation</t>
        </is>
      </c>
      <c r="C40" s="2" t="inlineStr">
        <is>
          <t>P1</t>
        </is>
      </c>
      <c r="D40" s="3" t="n">
        <v>3</v>
      </c>
      <c r="E40" s="2" t="inlineStr"/>
      <c r="F40" s="2" t="inlineStr"/>
      <c r="G40" s="2" t="inlineStr">
        <is>
          <t>Backlog</t>
        </is>
      </c>
      <c r="H40" s="2" t="inlineStr">
        <is>
          <t>Document supported Codefresh mappings and known limitations.</t>
        </is>
      </c>
      <c r="I40" s="2" t="inlineStr">
        <is>
          <t>Docs list supported step types, fallback behavior, required secrets, and manual review cases.</t>
        </is>
      </c>
      <c r="J40" s="2" t="inlineStr">
        <is>
          <t>CFM-014</t>
        </is>
      </c>
      <c r="K40" s="2" t="inlineStr"/>
    </row>
    <row r="41">
      <c r="A41" s="2" t="inlineStr">
        <is>
          <t>CFM-040</t>
        </is>
      </c>
      <c r="B41" s="2" t="inlineStr">
        <is>
          <t>Packaging and Documentation</t>
        </is>
      </c>
      <c r="C41" s="2" t="inlineStr">
        <is>
          <t>P1</t>
        </is>
      </c>
      <c r="D41" s="3" t="n">
        <v>3</v>
      </c>
      <c r="E41" s="2" t="inlineStr"/>
      <c r="F41" s="2" t="inlineStr"/>
      <c r="G41" s="2" t="inlineStr">
        <is>
          <t>Backlog</t>
        </is>
      </c>
      <c r="H41" s="2" t="inlineStr">
        <is>
          <t>Add manual QA checklist for extension usage.</t>
        </is>
      </c>
      <c r="I41" s="2" t="inlineStr">
        <is>
          <t>Checklist covers scan, plan, generate, overwrite protection, chat participant, and tools.</t>
        </is>
      </c>
      <c r="J41" s="2" t="inlineStr">
        <is>
          <t>CFM-021, CFM-025, CFM-026</t>
        </is>
      </c>
      <c r="K41" s="2" t="inlineStr"/>
    </row>
    <row r="42">
      <c r="A42" s="2" t="inlineStr">
        <is>
          <t>CFM-041</t>
        </is>
      </c>
      <c r="B42" s="2" t="inlineStr">
        <is>
          <t>Packaging and Documentation</t>
        </is>
      </c>
      <c r="C42" s="2" t="inlineStr">
        <is>
          <t>P2</t>
        </is>
      </c>
      <c r="D42" s="3" t="n">
        <v>3</v>
      </c>
      <c r="E42" s="2" t="inlineStr"/>
      <c r="F42" s="2" t="inlineStr"/>
      <c r="G42" s="2" t="inlineStr">
        <is>
          <t>Backlog</t>
        </is>
      </c>
      <c r="H42" s="2" t="inlineStr">
        <is>
          <t>Add packaging script and VSIX verification.</t>
        </is>
      </c>
      <c r="I42" s="2" t="inlineStr">
        <is>
          <t>`vsce package` or equivalent process is documented and package excludes dev artifacts.</t>
        </is>
      </c>
      <c r="J42" s="2" t="inlineStr">
        <is>
          <t>CFM-001, CFM-004</t>
        </is>
      </c>
      <c r="K42" s="2" t="inlineStr"/>
    </row>
    <row r="43">
      <c r="A43" s="2" t="inlineStr">
        <is>
          <t>CFM-042</t>
        </is>
      </c>
      <c r="B43" s="2" t="inlineStr">
        <is>
          <t>Packaging and Documentation</t>
        </is>
      </c>
      <c r="C43" s="2" t="inlineStr">
        <is>
          <t>P2</t>
        </is>
      </c>
      <c r="D43" s="3" t="n">
        <v>4</v>
      </c>
      <c r="E43" s="2" t="inlineStr"/>
      <c r="F43" s="2" t="inlineStr"/>
      <c r="G43" s="2" t="inlineStr">
        <is>
          <t>Backlog</t>
        </is>
      </c>
      <c r="H43" s="2" t="inlineStr">
        <is>
          <t>Add sample migration walkthrough.</t>
        </is>
      </c>
      <c r="I43" s="2" t="inlineStr">
        <is>
          <t>A sample Codefresh YAML and generated GitHub workflow are documented end to end.</t>
        </is>
      </c>
      <c r="J43" s="2" t="inlineStr">
        <is>
          <t>CFM-039</t>
        </is>
      </c>
      <c r="K43" s="2" t="inlineStr"/>
    </row>
  </sheetData>
  <autoFilter ref="A1:K43"/>
  <conditionalFormatting sqref="A2:K43">
    <cfRule type="expression" priority="1" dxfId="0">
      <formula>$C2="P0"</formula>
    </cfRule>
    <cfRule type="expression" priority="2" dxfId="1">
      <formula>$C2="P1"</formula>
    </cfRule>
    <cfRule type="expression" priority="3" dxfId="2">
      <formula>$C2="P2"</formula>
    </cfRule>
    <cfRule type="expression" priority="4" dxfId="3">
      <formula>$C2="P3"</formula>
    </cfRule>
    <cfRule type="expression" priority="5" dxfId="3">
      <formula>$G2="Done"</formula>
    </cfRule>
    <cfRule type="expression" priority="6" dxfId="0">
      <formula>$G2="Blocked"</formula>
    </cfRule>
  </conditionalFormatting>
  <dataValidations count="2">
    <dataValidation sqref="G2:G43" showDropDown="0" showInputMessage="0" showErrorMessage="0" allowBlank="0" type="list">
      <formula1>"Backlog,Ready,In Progress,Blocked,Review,Done"</formula1>
    </dataValidation>
    <dataValidation sqref="C2:C43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</cols>
  <sheetData>
    <row r="1">
      <c r="A1" s="4" t="inlineStr">
        <is>
          <t>Codefresh to GitHub Actions Migrator - Backlog Summary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6" t="inlineStr">
        <is>
          <t>Metric</t>
        </is>
      </c>
      <c r="B3" s="6" t="inlineStr">
        <is>
          <t>Formula / Value</t>
        </is>
      </c>
      <c r="C3" s="6" t="n"/>
      <c r="D3" s="6" t="n"/>
      <c r="E3" s="6" t="n"/>
      <c r="F3" s="6" t="n"/>
    </row>
    <row r="4">
      <c r="A4" s="5" t="inlineStr">
        <is>
          <t>Total stories</t>
        </is>
      </c>
      <c r="B4" s="5">
        <f>COUNTA('Master Stories'!A2:A500)</f>
        <v/>
      </c>
      <c r="C4" s="5" t="n"/>
      <c r="D4" s="5" t="n"/>
      <c r="E4" s="5" t="n"/>
      <c r="F4" s="5" t="n"/>
    </row>
    <row r="5">
      <c r="A5" s="5" t="inlineStr">
        <is>
          <t>Total points</t>
        </is>
      </c>
      <c r="B5" s="5">
        <f>SUM('Master Stories'!D2:D500)</f>
        <v/>
      </c>
      <c r="C5" s="5" t="n"/>
      <c r="D5" s="5" t="n"/>
      <c r="E5" s="5" t="n"/>
      <c r="F5" s="5" t="n"/>
    </row>
    <row r="6">
      <c r="A6" s="5" t="inlineStr">
        <is>
          <t>Unassigned stories</t>
        </is>
      </c>
      <c r="B6" s="5">
        <f>COUNTBLANK('Master Stories'!E2:E500)-COUNTBLANK('Master Stories'!A2:A500)</f>
        <v/>
      </c>
      <c r="C6" s="5" t="n"/>
      <c r="D6" s="5" t="n"/>
      <c r="E6" s="5" t="n"/>
      <c r="F6" s="5" t="n"/>
    </row>
    <row r="7">
      <c r="A7" s="5" t="inlineStr">
        <is>
          <t>Blocked stories</t>
        </is>
      </c>
      <c r="B7" s="5">
        <f>COUNTIF('Master Stories'!G2:G500,"Blocked")</f>
        <v/>
      </c>
      <c r="C7" s="5" t="n"/>
      <c r="D7" s="5" t="n"/>
      <c r="E7" s="5" t="n"/>
      <c r="F7" s="5" t="n"/>
    </row>
    <row r="8">
      <c r="A8" s="5" t="inlineStr">
        <is>
          <t>Done stories</t>
        </is>
      </c>
      <c r="B8" s="5">
        <f>COUNTIF('Master Stories'!G2:G500,"Done")</f>
        <v/>
      </c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6" t="inlineStr">
        <is>
          <t>Epic</t>
        </is>
      </c>
      <c r="B10" s="6" t="inlineStr">
        <is>
          <t>Story Count</t>
        </is>
      </c>
      <c r="C10" s="6" t="inlineStr">
        <is>
          <t>Points</t>
        </is>
      </c>
      <c r="D10" s="6" t="n"/>
      <c r="E10" s="6" t="n"/>
      <c r="F10" s="6" t="n"/>
    </row>
    <row r="11">
      <c r="A11" s="5" t="inlineStr">
        <is>
          <t>Project Foundation</t>
        </is>
      </c>
      <c r="B11" s="5">
        <f>COUNTIF('Master Stories'!B:B,A11)</f>
        <v/>
      </c>
      <c r="C11" s="5">
        <f>SUMIF('Master Stories'!B:B,A11,'Master Stories'!D:D)</f>
        <v/>
      </c>
      <c r="D11" s="5" t="n"/>
      <c r="E11" s="5" t="n"/>
      <c r="F11" s="5" t="n"/>
    </row>
    <row r="12">
      <c r="A12" s="5" t="inlineStr">
        <is>
          <t>Deterministic Converter Core</t>
        </is>
      </c>
      <c r="B12" s="5">
        <f>COUNTIF('Master Stories'!B:B,A12)</f>
        <v/>
      </c>
      <c r="C12" s="5">
        <f>SUMIF('Master Stories'!B:B,A12,'Master Stories'!D:D)</f>
        <v/>
      </c>
      <c r="D12" s="5" t="n"/>
      <c r="E12" s="5" t="n"/>
      <c r="F12" s="5" t="n"/>
    </row>
    <row r="13">
      <c r="A13" s="5" t="inlineStr">
        <is>
          <t>GitHub Actions Generation</t>
        </is>
      </c>
      <c r="B13" s="5">
        <f>COUNTIF('Master Stories'!B:B,A13)</f>
        <v/>
      </c>
      <c r="C13" s="5">
        <f>SUMIF('Master Stories'!B:B,A13,'Master Stories'!D:D)</f>
        <v/>
      </c>
      <c r="D13" s="5" t="n"/>
      <c r="E13" s="5" t="n"/>
      <c r="F13" s="5" t="n"/>
    </row>
    <row r="14">
      <c r="A14" s="5" t="inlineStr">
        <is>
          <t>VS Code Extension UX</t>
        </is>
      </c>
      <c r="B14" s="5">
        <f>COUNTIF('Master Stories'!B:B,A14)</f>
        <v/>
      </c>
      <c r="C14" s="5">
        <f>SUMIF('Master Stories'!B:B,A14,'Master Stories'!D:D)</f>
        <v/>
      </c>
      <c r="D14" s="5" t="n"/>
      <c r="E14" s="5" t="n"/>
      <c r="F14" s="5" t="n"/>
    </row>
    <row r="15">
      <c r="A15" s="5" t="inlineStr">
        <is>
          <t>Copilot and AI Tooling</t>
        </is>
      </c>
      <c r="B15" s="5">
        <f>COUNTIF('Master Stories'!B:B,A15)</f>
        <v/>
      </c>
      <c r="C15" s="5">
        <f>SUMIF('Master Stories'!B:B,A15,'Master Stories'!D:D)</f>
        <v/>
      </c>
      <c r="D15" s="5" t="n"/>
      <c r="E15" s="5" t="n"/>
      <c r="F15" s="5" t="n"/>
    </row>
    <row r="16">
      <c r="A16" s="5" t="inlineStr">
        <is>
          <t>Knowledge and Learning</t>
        </is>
      </c>
      <c r="B16" s="5">
        <f>COUNTIF('Master Stories'!B:B,A16)</f>
        <v/>
      </c>
      <c r="C16" s="5">
        <f>SUMIF('Master Stories'!B:B,A16,'Master Stories'!D:D)</f>
        <v/>
      </c>
      <c r="D16" s="5" t="n"/>
      <c r="E16" s="5" t="n"/>
      <c r="F16" s="5" t="n"/>
    </row>
    <row r="17">
      <c r="A17" s="5" t="inlineStr">
        <is>
          <t>Testing and Quality</t>
        </is>
      </c>
      <c r="B17" s="5">
        <f>COUNTIF('Master Stories'!B:B,A17)</f>
        <v/>
      </c>
      <c r="C17" s="5">
        <f>SUMIF('Master Stories'!B:B,A17,'Master Stories'!D:D)</f>
        <v/>
      </c>
      <c r="D17" s="5" t="n"/>
      <c r="E17" s="5" t="n"/>
      <c r="F17" s="5" t="n"/>
    </row>
    <row r="18">
      <c r="A18" s="5" t="inlineStr">
        <is>
          <t>Packaging and Documentation</t>
        </is>
      </c>
      <c r="B18" s="5">
        <f>COUNTIF('Master Stories'!B:B,A18)</f>
        <v/>
      </c>
      <c r="C18" s="5">
        <f>SUMIF('Master Stories'!B:B,A18,'Master Stories'!D:D)</f>
        <v/>
      </c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6" t="inlineStr">
        <is>
          <t>Priority</t>
        </is>
      </c>
      <c r="B20" s="6" t="inlineStr">
        <is>
          <t>Story Count</t>
        </is>
      </c>
      <c r="C20" s="6" t="inlineStr">
        <is>
          <t>Points</t>
        </is>
      </c>
      <c r="D20" s="6" t="n"/>
      <c r="E20" s="6" t="n"/>
      <c r="F20" s="6" t="n"/>
    </row>
    <row r="21">
      <c r="A21" s="5" t="inlineStr">
        <is>
          <t>P0</t>
        </is>
      </c>
      <c r="B21" s="5">
        <f>COUNTIF('Master Stories'!C:C,A21)</f>
        <v/>
      </c>
      <c r="C21" s="5">
        <f>SUMIF('Master Stories'!C:C,A21,'Master Stories'!D:D)</f>
        <v/>
      </c>
      <c r="D21" s="5" t="n"/>
      <c r="E21" s="5" t="n"/>
      <c r="F21" s="5" t="n"/>
    </row>
    <row r="22">
      <c r="A22" s="5" t="inlineStr">
        <is>
          <t>P1</t>
        </is>
      </c>
      <c r="B22" s="5">
        <f>COUNTIF('Master Stories'!C:C,A22)</f>
        <v/>
      </c>
      <c r="C22" s="5">
        <f>SUMIF('Master Stories'!C:C,A22,'Master Stories'!D:D)</f>
        <v/>
      </c>
      <c r="D22" s="5" t="n"/>
      <c r="E22" s="5" t="n"/>
      <c r="F22" s="5" t="n"/>
    </row>
    <row r="23">
      <c r="A23" s="5" t="inlineStr">
        <is>
          <t>P2</t>
        </is>
      </c>
      <c r="B23" s="5">
        <f>COUNTIF('Master Stories'!C:C,A23)</f>
        <v/>
      </c>
      <c r="C23" s="5">
        <f>SUMIF('Master Stories'!C:C,A23,'Master Stories'!D:D)</f>
        <v/>
      </c>
      <c r="D23" s="5" t="n"/>
      <c r="E23" s="5" t="n"/>
      <c r="F23" s="5" t="n"/>
    </row>
    <row r="24">
      <c r="A24" s="5" t="inlineStr">
        <is>
          <t>P3</t>
        </is>
      </c>
      <c r="B24" s="5">
        <f>COUNTIF('Master Stories'!C:C,A24)</f>
        <v/>
      </c>
      <c r="C24" s="5">
        <f>SUMIF('Master Stories'!C:C,A24,'Master Stories'!D:D)</f>
        <v/>
      </c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inlineStr">
        <is>
          <t>Status</t>
        </is>
      </c>
      <c r="B26" s="5" t="inlineStr">
        <is>
          <t>Story Count</t>
        </is>
      </c>
      <c r="C26" s="5" t="inlineStr">
        <is>
          <t>Points</t>
        </is>
      </c>
      <c r="D26" s="5" t="n"/>
      <c r="E26" s="5" t="n"/>
      <c r="F26" s="5" t="n"/>
    </row>
    <row r="27">
      <c r="A27" s="5" t="inlineStr">
        <is>
          <t>Backlog</t>
        </is>
      </c>
      <c r="B27" s="5">
        <f>COUNTIF('Master Stories'!G:G,A27)</f>
        <v/>
      </c>
      <c r="C27" s="5">
        <f>SUMIF('Master Stories'!G:G,A27,'Master Stories'!D:D)</f>
        <v/>
      </c>
      <c r="D27" s="5" t="n"/>
      <c r="E27" s="5" t="n"/>
      <c r="F27" s="5" t="n"/>
    </row>
    <row r="28">
      <c r="A28" s="6" t="inlineStr">
        <is>
          <t>Ready</t>
        </is>
      </c>
      <c r="B28" s="6">
        <f>COUNTIF('Master Stories'!G:G,A28)</f>
        <v/>
      </c>
      <c r="C28" s="6">
        <f>SUMIF('Master Stories'!G:G,A28,'Master Stories'!D:D)</f>
        <v/>
      </c>
      <c r="D28" s="6" t="n"/>
      <c r="E28" s="6" t="n"/>
      <c r="F28" s="6" t="n"/>
    </row>
    <row r="29">
      <c r="A29" s="5" t="inlineStr">
        <is>
          <t>In Progress</t>
        </is>
      </c>
      <c r="B29" s="5">
        <f>COUNTIF('Master Stories'!G:G,A29)</f>
        <v/>
      </c>
      <c r="C29" s="5">
        <f>SUMIF('Master Stories'!G:G,A29,'Master Stories'!D:D)</f>
        <v/>
      </c>
      <c r="D29" s="5" t="n"/>
      <c r="E29" s="5" t="n"/>
      <c r="F29" s="5" t="n"/>
    </row>
    <row r="30">
      <c r="A30" s="5" t="inlineStr">
        <is>
          <t>Blocked</t>
        </is>
      </c>
      <c r="B30" s="5">
        <f>COUNTIF('Master Stories'!G:G,A30)</f>
        <v/>
      </c>
      <c r="C30" s="5">
        <f>SUMIF('Master Stories'!G:G,A30,'Master Stories'!D:D)</f>
        <v/>
      </c>
      <c r="D30" s="5" t="n"/>
      <c r="E30" s="5" t="n"/>
      <c r="F30" s="5" t="n"/>
    </row>
    <row r="31">
      <c r="A31" s="5" t="inlineStr">
        <is>
          <t>Review</t>
        </is>
      </c>
      <c r="B31" s="5">
        <f>COUNTIF('Master Stories'!G:G,A31)</f>
        <v/>
      </c>
      <c r="C31" s="5">
        <f>SUMIF('Master Stories'!G:G,A31,'Master Stories'!D:D)</f>
        <v/>
      </c>
      <c r="D31" s="5" t="n"/>
      <c r="E31" s="5" t="n"/>
      <c r="F31" s="5" t="n"/>
    </row>
    <row r="32">
      <c r="A32" s="5" t="inlineStr">
        <is>
          <t>Done</t>
        </is>
      </c>
      <c r="B32" s="5">
        <f>COUNTIF('Master Stories'!G:G,A32)</f>
        <v/>
      </c>
      <c r="C32" s="5">
        <f>SUMIF('Master Stories'!G:G,A32,'Master Stories'!D:D)</f>
        <v/>
      </c>
      <c r="D32" s="5" t="n"/>
      <c r="E32" s="5" t="n"/>
      <c r="F32" s="5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7" t="inlineStr">
        <is>
          <t>Field</t>
        </is>
      </c>
      <c r="B1" s="7" t="inlineStr">
        <is>
          <t>Usage</t>
        </is>
      </c>
    </row>
    <row r="2">
      <c r="A2" s="2" t="inlineStr">
        <is>
          <t>ID</t>
        </is>
      </c>
      <c r="B2" s="2" t="inlineStr">
        <is>
          <t>Stable story identifier for assignment and dependency tracking.</t>
        </is>
      </c>
    </row>
    <row r="3">
      <c r="A3" s="2" t="inlineStr">
        <is>
          <t>Epic</t>
        </is>
      </c>
      <c r="B3" s="2" t="inlineStr">
        <is>
          <t>Functional workstream. Filter by this to distribute across teams.</t>
        </is>
      </c>
    </row>
    <row r="4">
      <c r="A4" s="2" t="inlineStr">
        <is>
          <t>Priority</t>
        </is>
      </c>
      <c r="B4" s="2" t="inlineStr">
        <is>
          <t>P0 release blocker, P1 MVP, P2 important follow-up, P3 polish.</t>
        </is>
      </c>
    </row>
    <row r="5">
      <c r="A5" s="2" t="inlineStr">
        <is>
          <t>Estimate</t>
        </is>
      </c>
      <c r="B5" s="2" t="inlineStr">
        <is>
          <t>Relative story points, not hours.</t>
        </is>
      </c>
    </row>
    <row r="6">
      <c r="A6" s="2" t="inlineStr">
        <is>
          <t>Owner</t>
        </is>
      </c>
      <c r="B6" s="2" t="inlineStr">
        <is>
          <t>Person or team accountable for delivery.</t>
        </is>
      </c>
    </row>
    <row r="7">
      <c r="A7" s="2" t="inlineStr">
        <is>
          <t>Sprint</t>
        </is>
      </c>
      <c r="B7" s="2" t="inlineStr">
        <is>
          <t>Target sprint or milestone.</t>
        </is>
      </c>
    </row>
    <row r="8">
      <c r="A8" s="2" t="inlineStr">
        <is>
          <t>Status</t>
        </is>
      </c>
      <c r="B8" s="2" t="inlineStr">
        <is>
          <t>Use the dropdown: Backlog, Ready, In Progress, Blocked, Review, Done.</t>
        </is>
      </c>
    </row>
    <row r="9">
      <c r="A9" s="2" t="inlineStr">
        <is>
          <t>Dependencies</t>
        </is>
      </c>
      <c r="B9" s="2" t="inlineStr">
        <is>
          <t>Comma-separated story IDs that should land first.</t>
        </is>
      </c>
    </row>
    <row r="10">
      <c r="A10" s="2" t="inlineStr">
        <is>
          <t>Notes</t>
        </is>
      </c>
      <c r="B10" s="2" t="inlineStr">
        <is>
          <t>Assignment notes, links, or implementation comments.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2026-04-20T17:26:14Z</dcterms:created>
  <dcterms:modified xsi:type="dcterms:W3CDTF">2026-04-20T17:26:14Z</dcterms:modified>
</cp:coreProperties>
</file>